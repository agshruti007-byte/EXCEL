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349dc92241d6f761/Desktop/Ritika/Assignment/"/>
    </mc:Choice>
  </mc:AlternateContent>
  <xr:revisionPtr revIDLastSave="0" documentId="8_{F607E015-4443-4BD5-BEC1-5D3716D61D14}" xr6:coauthVersionLast="47" xr6:coauthVersionMax="47" xr10:uidLastSave="{00000000-0000-0000-0000-000000000000}"/>
  <bookViews>
    <workbookView xWindow="-110" yWindow="-110" windowWidth="19420" windowHeight="10300" xr2:uid="{3FCD1304-ABF5-4914-A6E5-FB5F0DDF9C72}"/>
  </bookViews>
  <sheets>
    <sheet name="Q1" sheetId="1" r:id="rId1"/>
    <sheet name="Q2" sheetId="2" r:id="rId2"/>
    <sheet name="Q3" sheetId="3" r:id="rId3"/>
    <sheet name="Q4" sheetId="4" r:id="rId4"/>
    <sheet name="Q5" sheetId="5" r:id="rId5"/>
    <sheet name="Q6" sheetId="6" r:id="rId6"/>
    <sheet name="Q7" sheetId="7" r:id="rId7"/>
    <sheet name="Q8" sheetId="8" r:id="rId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 i="7" l="1"/>
  <c r="D14" i="6"/>
  <c r="D13" i="6"/>
  <c r="D12" i="6"/>
  <c r="D13" i="5"/>
  <c r="E11" i="4"/>
  <c r="C16" i="3"/>
  <c r="C15" i="3"/>
  <c r="C14" i="3"/>
  <c r="C13" i="3"/>
  <c r="C12" i="3"/>
  <c r="D14" i="2"/>
  <c r="D13" i="2"/>
  <c r="D12" i="2"/>
  <c r="D11" i="2"/>
  <c r="C16" i="1"/>
  <c r="C15" i="1"/>
  <c r="C14" i="1"/>
  <c r="C13" i="1"/>
  <c r="C12" i="1"/>
</calcChain>
</file>

<file path=xl/sharedStrings.xml><?xml version="1.0" encoding="utf-8"?>
<sst xmlns="http://schemas.openxmlformats.org/spreadsheetml/2006/main" count="141" uniqueCount="76">
  <si>
    <t>1.Write a formula to check if the marks in cell B2 are greater than or equal to 40. If yes, return "Pass" otherwise "Fail".</t>
  </si>
  <si>
    <t>Student Name</t>
  </si>
  <si>
    <t>Marks</t>
  </si>
  <si>
    <t>Riya</t>
  </si>
  <si>
    <t>Siya</t>
  </si>
  <si>
    <t>Raju</t>
  </si>
  <si>
    <t>Rahul</t>
  </si>
  <si>
    <t>Ram</t>
  </si>
  <si>
    <t>Ans.</t>
  </si>
  <si>
    <t>Result</t>
  </si>
  <si>
    <t>Formula:"=IF($B12&gt;=40,"Pass","Fail")"</t>
  </si>
  <si>
    <t>2.A company gives a bonus  if sales are above 40,000 and attendance is greater than or equal to 90%. Write a formula to calculate whether the employee will get a bonus or not .</t>
  </si>
  <si>
    <t>Employee</t>
  </si>
  <si>
    <t>Sales</t>
  </si>
  <si>
    <t>Attendance</t>
  </si>
  <si>
    <t>Arjun</t>
  </si>
  <si>
    <t>Simran</t>
  </si>
  <si>
    <t>Rohit</t>
  </si>
  <si>
    <t>Anjali</t>
  </si>
  <si>
    <t>Eligibility</t>
  </si>
  <si>
    <t>Formula:("=IF(AND($B10&gt;40000,$C10&gt;90),"Eligible","Not Eligible")"</t>
  </si>
  <si>
    <t>3.Write a nested IF formula:</t>
  </si>
  <si>
    <t>Raj</t>
  </si>
  <si>
    <t>Neha</t>
  </si>
  <si>
    <t>Vivek</t>
  </si>
  <si>
    <t>Rani</t>
  </si>
  <si>
    <t>Sneha</t>
  </si>
  <si>
    <t>Grade</t>
  </si>
  <si>
    <t>Formula:"=IF($B12&gt;=90,"A",IF($B12&gt;=75,"B",IF($B12&gt;=50,"C","Fail")))"</t>
  </si>
  <si>
    <t>4.Find the Department of Employee ID = E103. Also explain which LOOKUP function is used and why?</t>
  </si>
  <si>
    <t>Emp ID</t>
  </si>
  <si>
    <t>Name</t>
  </si>
  <si>
    <t>Department</t>
  </si>
  <si>
    <t>E101</t>
  </si>
  <si>
    <t>IT</t>
  </si>
  <si>
    <t>E102</t>
  </si>
  <si>
    <t>HR</t>
  </si>
  <si>
    <t>E103</t>
  </si>
  <si>
    <t>Roshini</t>
  </si>
  <si>
    <t>FINANCE</t>
  </si>
  <si>
    <t>E104</t>
  </si>
  <si>
    <t>Sejal</t>
  </si>
  <si>
    <t>SALES</t>
  </si>
  <si>
    <t>Formula:"=VLOOKUP($A12,$A&amp;9:$C$13,3,FALSE)</t>
  </si>
  <si>
    <t>5.A company has set the following commission structure for its sales team:</t>
  </si>
  <si>
    <t>Sales Amount</t>
  </si>
  <si>
    <t>Commission Rate</t>
  </si>
  <si>
    <t>If a salesperson achieves sales of ₹45,000, use the VLOOKUP function to determine the commission rate applicable..</t>
  </si>
  <si>
    <t>Formula:"=VLOOKUP(45000,$A$11:$B$15,2,TRUE)"</t>
  </si>
  <si>
    <t>Here we should be using approximate match because we don’t have exact value here so it takes input and checks which criteria it belongs to and gives result.</t>
  </si>
  <si>
    <t>And the resullt of "%" value will be always given in decimals so we should change by using formating cell.</t>
  </si>
  <si>
    <t>6.The HR department maintains the following leave records of employees:onus or not .</t>
  </si>
  <si>
    <t>Employee Name</t>
  </si>
  <si>
    <t>Leaves Taken</t>
  </si>
  <si>
    <t>Leaves Allowed</t>
  </si>
  <si>
    <t>Alex</t>
  </si>
  <si>
    <t>Bob</t>
  </si>
  <si>
    <t>Anna</t>
  </si>
  <si>
    <t>Write an IF function to check whether an employee has Exceeded their allowed leave balance.</t>
  </si>
  <si>
    <t>If Leaves Taken &gt; Allowed Leaves, display "Exceeded".</t>
  </si>
  <si>
    <t>Otherwise, display "OK".</t>
  </si>
  <si>
    <t>Leave Balance</t>
  </si>
  <si>
    <t>Formula:"=IF($B12&lt;$C12,"OK","Exceeded")"</t>
  </si>
  <si>
    <t>7.Find the salary of EmpID = E105 using INDEX-MATCH Function.</t>
  </si>
  <si>
    <t>EmpID</t>
  </si>
  <si>
    <t>Salary</t>
  </si>
  <si>
    <t>E105</t>
  </si>
  <si>
    <t>E106</t>
  </si>
  <si>
    <t>Formula:"=INDEX($A$2:$B$6,3,2)"</t>
  </si>
  <si>
    <t>8.Use the XLOOKUP function to find the Department of the employee with Emp ID = E303</t>
  </si>
  <si>
    <t>E303</t>
  </si>
  <si>
    <t>E301</t>
  </si>
  <si>
    <t>Finance</t>
  </si>
  <si>
    <t>Formula:"=XLOOKUP($A4,$A$2:$A$6,$B$2:$B$6)"</t>
  </si>
  <si>
    <t>We should use "VLOOKUP" here because in table employee id is in first column and we also want department of  E103 ROW so when we use "VLOOKUP" and give full table as source it scans all the table and in formula we will be giving column index number as 3 so it goes through every thing in the 3 coulmn in the table and gives result as "Finance". And for "VLOOKUP" if we are giving input it should be in the first column only or else there will be error.</t>
  </si>
  <si>
    <r>
      <t xml:space="preserve">If marks in B2 are  ≥ 90 </t>
    </r>
    <r>
      <rPr>
        <b/>
        <sz val="11"/>
        <color theme="1"/>
        <rFont val="Calibri"/>
        <family val="2"/>
      </rPr>
      <t>→</t>
    </r>
    <r>
      <rPr>
        <b/>
        <sz val="11"/>
        <color theme="1"/>
        <rFont val="Calibri"/>
        <family val="2"/>
        <scheme val="minor"/>
      </rPr>
      <t xml:space="preserve"> "A", ≥ 75 → "B", ≥ 50 → "C", otherwise "Fail".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</si>
</sst>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1"/>
      <name val="Calibri"/>
      <family val="2"/>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2">
    <xf numFmtId="0" fontId="0" fillId="0" borderId="0" xfId="0"/>
    <xf numFmtId="0" fontId="0" fillId="2" borderId="0" xfId="0" applyFill="1"/>
    <xf numFmtId="0" fontId="0" fillId="0" borderId="0" xfId="0" applyFill="1"/>
    <xf numFmtId="0" fontId="0" fillId="0" borderId="0" xfId="0" applyFill="1" applyAlignment="1">
      <alignment horizontal="left"/>
    </xf>
    <xf numFmtId="0" fontId="0" fillId="3" borderId="0" xfId="0" applyFill="1"/>
    <xf numFmtId="0" fontId="1" fillId="3" borderId="1" xfId="0" applyFont="1" applyFill="1" applyBorder="1"/>
    <xf numFmtId="0" fontId="1" fillId="4" borderId="0" xfId="0" applyFont="1" applyFill="1"/>
    <xf numFmtId="0" fontId="0" fillId="4" borderId="0" xfId="0" applyFill="1"/>
    <xf numFmtId="0" fontId="1" fillId="4" borderId="1" xfId="0" applyFont="1" applyFill="1" applyBorder="1"/>
    <xf numFmtId="0" fontId="0" fillId="4" borderId="1" xfId="0" applyFill="1" applyBorder="1"/>
    <xf numFmtId="0" fontId="1" fillId="3" borderId="0" xfId="0" applyFont="1" applyFill="1" applyAlignment="1">
      <alignment horizontal="center"/>
    </xf>
    <xf numFmtId="0" fontId="0" fillId="4" borderId="2" xfId="0" applyFill="1" applyBorder="1"/>
    <xf numFmtId="0" fontId="0" fillId="4" borderId="0" xfId="0" applyFill="1" applyAlignment="1">
      <alignment horizontal="left" wrapText="1"/>
    </xf>
    <xf numFmtId="9" fontId="0" fillId="4" borderId="1" xfId="0" applyNumberFormat="1" applyFill="1" applyBorder="1"/>
    <xf numFmtId="10" fontId="0" fillId="4" borderId="0" xfId="0" applyNumberFormat="1" applyFill="1"/>
    <xf numFmtId="0" fontId="0" fillId="0" borderId="0" xfId="0" applyFill="1" applyAlignment="1"/>
    <xf numFmtId="0" fontId="1" fillId="3" borderId="0" xfId="0" applyFont="1" applyFill="1" applyAlignment="1">
      <alignment horizontal="left" wrapText="1"/>
    </xf>
    <xf numFmtId="0" fontId="1" fillId="3" borderId="0" xfId="0" applyFont="1" applyFill="1"/>
    <xf numFmtId="0" fontId="1" fillId="3" borderId="0" xfId="0" applyFont="1" applyFill="1" applyAlignment="1">
      <alignment horizontal="left"/>
    </xf>
    <xf numFmtId="0" fontId="1" fillId="3" borderId="0" xfId="0" applyFont="1" applyFill="1" applyAlignment="1">
      <alignment horizontal="left"/>
    </xf>
    <xf numFmtId="9" fontId="1" fillId="3" borderId="1" xfId="0" applyNumberFormat="1" applyFont="1" applyFill="1" applyBorder="1"/>
    <xf numFmtId="0" fontId="1" fillId="3"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F4CD-5CFD-42E6-9B39-FE08B7B12D16}">
  <dimension ref="A1:K17"/>
  <sheetViews>
    <sheetView tabSelected="1" workbookViewId="0">
      <selection activeCell="N10" sqref="N10"/>
    </sheetView>
  </sheetViews>
  <sheetFormatPr defaultRowHeight="14.5" x14ac:dyDescent="0.35"/>
  <cols>
    <col min="1" max="1" width="15.1796875" customWidth="1"/>
    <col min="2" max="2" width="12.90625" customWidth="1"/>
  </cols>
  <sheetData>
    <row r="1" spans="1:11" x14ac:dyDescent="0.35">
      <c r="A1" s="10" t="s">
        <v>0</v>
      </c>
      <c r="B1" s="10"/>
      <c r="C1" s="10"/>
      <c r="D1" s="10"/>
      <c r="E1" s="10"/>
      <c r="F1" s="10"/>
      <c r="G1" s="10"/>
      <c r="H1" s="10"/>
      <c r="I1" s="10"/>
      <c r="J1" s="10"/>
      <c r="K1" s="4"/>
    </row>
    <row r="2" spans="1:11" x14ac:dyDescent="0.35">
      <c r="A2" s="5" t="s">
        <v>1</v>
      </c>
      <c r="B2" s="5" t="s">
        <v>2</v>
      </c>
      <c r="C2" s="4"/>
      <c r="D2" s="4"/>
      <c r="E2" s="4"/>
      <c r="F2" s="4"/>
      <c r="G2" s="4"/>
      <c r="H2" s="4"/>
      <c r="I2" s="4"/>
      <c r="J2" s="4"/>
      <c r="K2" s="4"/>
    </row>
    <row r="3" spans="1:11" x14ac:dyDescent="0.35">
      <c r="A3" s="5" t="s">
        <v>3</v>
      </c>
      <c r="B3" s="5">
        <v>45</v>
      </c>
      <c r="C3" s="4"/>
      <c r="D3" s="4"/>
      <c r="E3" s="4"/>
      <c r="F3" s="4"/>
      <c r="G3" s="4"/>
      <c r="H3" s="4"/>
      <c r="I3" s="4"/>
      <c r="J3" s="4"/>
      <c r="K3" s="4"/>
    </row>
    <row r="4" spans="1:11" x14ac:dyDescent="0.35">
      <c r="A4" s="5" t="s">
        <v>4</v>
      </c>
      <c r="B4" s="5">
        <v>72</v>
      </c>
      <c r="C4" s="4"/>
      <c r="D4" s="4"/>
      <c r="E4" s="4"/>
      <c r="F4" s="4"/>
      <c r="G4" s="4"/>
      <c r="H4" s="4"/>
      <c r="I4" s="4"/>
      <c r="J4" s="4"/>
      <c r="K4" s="4"/>
    </row>
    <row r="5" spans="1:11" x14ac:dyDescent="0.35">
      <c r="A5" s="5" t="s">
        <v>5</v>
      </c>
      <c r="B5" s="5">
        <v>55</v>
      </c>
      <c r="C5" s="4"/>
      <c r="D5" s="4"/>
      <c r="E5" s="4"/>
      <c r="F5" s="4"/>
      <c r="G5" s="4"/>
      <c r="H5" s="4"/>
      <c r="I5" s="4"/>
      <c r="J5" s="4"/>
      <c r="K5" s="4"/>
    </row>
    <row r="6" spans="1:11" x14ac:dyDescent="0.35">
      <c r="A6" s="5" t="s">
        <v>6</v>
      </c>
      <c r="B6" s="5">
        <v>80</v>
      </c>
      <c r="C6" s="4"/>
      <c r="D6" s="4"/>
      <c r="E6" s="4"/>
      <c r="F6" s="4"/>
      <c r="G6" s="4"/>
      <c r="H6" s="4"/>
      <c r="I6" s="4"/>
      <c r="J6" s="4"/>
      <c r="K6" s="4"/>
    </row>
    <row r="7" spans="1:11" x14ac:dyDescent="0.35">
      <c r="A7" s="5" t="s">
        <v>7</v>
      </c>
      <c r="B7" s="5">
        <v>30</v>
      </c>
      <c r="C7" s="4"/>
      <c r="D7" s="4"/>
      <c r="E7" s="4"/>
      <c r="F7" s="4"/>
      <c r="G7" s="4"/>
      <c r="H7" s="4"/>
      <c r="I7" s="4"/>
      <c r="J7" s="4"/>
      <c r="K7" s="4"/>
    </row>
    <row r="10" spans="1:11" x14ac:dyDescent="0.35">
      <c r="A10" s="6" t="s">
        <v>8</v>
      </c>
      <c r="B10" s="7"/>
      <c r="C10" s="7"/>
      <c r="D10" s="7"/>
      <c r="E10" s="7"/>
      <c r="F10" s="7"/>
      <c r="G10" s="7"/>
      <c r="H10" s="7"/>
      <c r="I10" s="7"/>
      <c r="J10" s="7"/>
      <c r="K10" s="7"/>
    </row>
    <row r="11" spans="1:11" x14ac:dyDescent="0.35">
      <c r="A11" s="8" t="s">
        <v>1</v>
      </c>
      <c r="B11" s="8" t="s">
        <v>2</v>
      </c>
      <c r="C11" s="8" t="s">
        <v>9</v>
      </c>
      <c r="D11" s="7"/>
      <c r="E11" s="7"/>
      <c r="F11" s="7"/>
      <c r="G11" s="7"/>
      <c r="H11" s="7"/>
      <c r="I11" s="7"/>
      <c r="J11" s="7"/>
      <c r="K11" s="7"/>
    </row>
    <row r="12" spans="1:11" x14ac:dyDescent="0.35">
      <c r="A12" s="9" t="s">
        <v>3</v>
      </c>
      <c r="B12" s="9">
        <v>45</v>
      </c>
      <c r="C12" s="9" t="str">
        <f>IF($B12&gt;=40,"Pass","Fail")</f>
        <v>Pass</v>
      </c>
      <c r="D12" s="7" t="s">
        <v>10</v>
      </c>
      <c r="E12" s="7"/>
      <c r="F12" s="7"/>
      <c r="G12" s="7"/>
      <c r="H12" s="7"/>
      <c r="I12" s="7"/>
      <c r="J12" s="7"/>
      <c r="K12" s="7"/>
    </row>
    <row r="13" spans="1:11" x14ac:dyDescent="0.35">
      <c r="A13" s="9" t="s">
        <v>4</v>
      </c>
      <c r="B13" s="9">
        <v>72</v>
      </c>
      <c r="C13" s="9" t="str">
        <f t="shared" ref="C13:C16" si="0">IF($B13&gt;=40,"Pass","Fail")</f>
        <v>Pass</v>
      </c>
      <c r="D13" s="7"/>
      <c r="E13" s="7"/>
      <c r="F13" s="7"/>
      <c r="G13" s="7"/>
      <c r="H13" s="7"/>
      <c r="I13" s="7"/>
      <c r="J13" s="7"/>
      <c r="K13" s="7"/>
    </row>
    <row r="14" spans="1:11" x14ac:dyDescent="0.35">
      <c r="A14" s="9" t="s">
        <v>5</v>
      </c>
      <c r="B14" s="9">
        <v>55</v>
      </c>
      <c r="C14" s="9" t="str">
        <f t="shared" si="0"/>
        <v>Pass</v>
      </c>
      <c r="D14" s="7"/>
      <c r="E14" s="7"/>
      <c r="F14" s="7"/>
      <c r="G14" s="7"/>
      <c r="H14" s="7"/>
      <c r="I14" s="7"/>
      <c r="J14" s="7"/>
      <c r="K14" s="7"/>
    </row>
    <row r="15" spans="1:11" x14ac:dyDescent="0.35">
      <c r="A15" s="9" t="s">
        <v>6</v>
      </c>
      <c r="B15" s="9">
        <v>80</v>
      </c>
      <c r="C15" s="9" t="str">
        <f t="shared" si="0"/>
        <v>Pass</v>
      </c>
      <c r="D15" s="7"/>
      <c r="E15" s="7"/>
      <c r="F15" s="7"/>
      <c r="G15" s="7"/>
      <c r="H15" s="7"/>
      <c r="I15" s="7"/>
      <c r="J15" s="7"/>
      <c r="K15" s="7"/>
    </row>
    <row r="16" spans="1:11" x14ac:dyDescent="0.35">
      <c r="A16" s="9" t="s">
        <v>7</v>
      </c>
      <c r="B16" s="9">
        <v>30</v>
      </c>
      <c r="C16" s="9" t="str">
        <f t="shared" si="0"/>
        <v>Fail</v>
      </c>
      <c r="D16" s="7"/>
      <c r="E16" s="7"/>
      <c r="F16" s="7"/>
      <c r="G16" s="7"/>
      <c r="H16" s="7"/>
      <c r="I16" s="7"/>
      <c r="J16" s="7"/>
      <c r="K16" s="7"/>
    </row>
    <row r="17" spans="1:11" x14ac:dyDescent="0.35">
      <c r="A17" s="7"/>
      <c r="B17" s="7"/>
      <c r="C17" s="7"/>
      <c r="D17" s="7"/>
      <c r="E17" s="7"/>
      <c r="F17" s="7"/>
      <c r="G17" s="7"/>
      <c r="H17" s="7"/>
      <c r="I17" s="7"/>
      <c r="J17" s="7"/>
      <c r="K17" s="7"/>
    </row>
  </sheetData>
  <mergeCells count="1">
    <mergeCell ref="A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CC99E-3028-43A1-824F-B1EEDF684AD6}">
  <dimension ref="A1:Q15"/>
  <sheetViews>
    <sheetView workbookViewId="0">
      <selection activeCell="F19" sqref="F19"/>
    </sheetView>
  </sheetViews>
  <sheetFormatPr defaultRowHeight="14.5" x14ac:dyDescent="0.35"/>
  <cols>
    <col min="1" max="1" width="13.08984375" customWidth="1"/>
    <col min="3" max="3" width="13.36328125" customWidth="1"/>
    <col min="4" max="4" width="14.54296875" customWidth="1"/>
    <col min="10" max="10" width="9.6328125" customWidth="1"/>
  </cols>
  <sheetData>
    <row r="1" spans="1:17" ht="28.5" customHeight="1" x14ac:dyDescent="0.35">
      <c r="A1" s="16" t="s">
        <v>11</v>
      </c>
      <c r="B1" s="16"/>
      <c r="C1" s="16"/>
      <c r="D1" s="16"/>
      <c r="E1" s="16"/>
      <c r="F1" s="16"/>
      <c r="G1" s="16"/>
      <c r="H1" s="16"/>
      <c r="I1" s="16"/>
      <c r="J1" s="16"/>
      <c r="K1" s="16"/>
      <c r="L1" s="3"/>
      <c r="M1" s="3"/>
      <c r="N1" s="3"/>
      <c r="O1" s="3"/>
      <c r="P1" s="15"/>
      <c r="Q1" s="2"/>
    </row>
    <row r="2" spans="1:17" ht="12" customHeight="1" x14ac:dyDescent="0.35">
      <c r="A2" s="21"/>
      <c r="B2" s="21"/>
      <c r="C2" s="21"/>
      <c r="D2" s="21"/>
      <c r="E2" s="21"/>
      <c r="F2" s="21"/>
      <c r="G2" s="21"/>
      <c r="H2" s="21"/>
      <c r="I2" s="21"/>
      <c r="J2" s="21"/>
      <c r="K2" s="21"/>
      <c r="L2" s="3"/>
      <c r="M2" s="3"/>
      <c r="N2" s="3"/>
      <c r="O2" s="3"/>
      <c r="P2" s="15"/>
      <c r="Q2" s="2"/>
    </row>
    <row r="3" spans="1:17" x14ac:dyDescent="0.35">
      <c r="A3" s="5" t="s">
        <v>12</v>
      </c>
      <c r="B3" s="5" t="s">
        <v>13</v>
      </c>
      <c r="C3" s="5" t="s">
        <v>14</v>
      </c>
      <c r="D3" s="17"/>
      <c r="E3" s="17"/>
      <c r="F3" s="17"/>
      <c r="G3" s="17"/>
      <c r="H3" s="17"/>
      <c r="I3" s="17"/>
      <c r="J3" s="17"/>
      <c r="K3" s="17"/>
      <c r="L3" s="2"/>
      <c r="M3" s="2"/>
      <c r="N3" s="2"/>
      <c r="O3" s="2"/>
      <c r="P3" s="2"/>
      <c r="Q3" s="2"/>
    </row>
    <row r="4" spans="1:17" x14ac:dyDescent="0.35">
      <c r="A4" s="5" t="s">
        <v>15</v>
      </c>
      <c r="B4" s="5">
        <v>55000</v>
      </c>
      <c r="C4" s="5">
        <v>95</v>
      </c>
      <c r="D4" s="17"/>
      <c r="E4" s="17"/>
      <c r="F4" s="17"/>
      <c r="G4" s="17"/>
      <c r="H4" s="17"/>
      <c r="I4" s="17"/>
      <c r="J4" s="17"/>
      <c r="K4" s="17"/>
      <c r="L4" s="2"/>
      <c r="M4" s="2"/>
      <c r="N4" s="2"/>
      <c r="O4" s="2"/>
      <c r="P4" s="2"/>
      <c r="Q4" s="2"/>
    </row>
    <row r="5" spans="1:17" x14ac:dyDescent="0.35">
      <c r="A5" s="5" t="s">
        <v>16</v>
      </c>
      <c r="B5" s="5">
        <v>65000</v>
      </c>
      <c r="C5" s="5">
        <v>85</v>
      </c>
      <c r="D5" s="17"/>
      <c r="E5" s="17"/>
      <c r="F5" s="17"/>
      <c r="G5" s="17"/>
      <c r="H5" s="17"/>
      <c r="I5" s="17"/>
      <c r="J5" s="17"/>
      <c r="K5" s="17"/>
      <c r="L5" s="2"/>
      <c r="M5" s="2"/>
      <c r="N5" s="2"/>
      <c r="O5" s="2"/>
      <c r="P5" s="2"/>
      <c r="Q5" s="2"/>
    </row>
    <row r="6" spans="1:17" x14ac:dyDescent="0.35">
      <c r="A6" s="5" t="s">
        <v>17</v>
      </c>
      <c r="B6" s="5">
        <v>30000</v>
      </c>
      <c r="C6" s="5">
        <v>90</v>
      </c>
      <c r="D6" s="17"/>
      <c r="E6" s="17"/>
      <c r="F6" s="17"/>
      <c r="G6" s="17"/>
      <c r="H6" s="17"/>
      <c r="I6" s="17"/>
      <c r="J6" s="17"/>
      <c r="K6" s="17"/>
      <c r="L6" s="2"/>
      <c r="M6" s="2"/>
      <c r="N6" s="2"/>
      <c r="O6" s="2"/>
      <c r="P6" s="2"/>
      <c r="Q6" s="2"/>
    </row>
    <row r="7" spans="1:17" x14ac:dyDescent="0.35">
      <c r="A7" s="5" t="s">
        <v>18</v>
      </c>
      <c r="B7" s="5">
        <v>25000</v>
      </c>
      <c r="C7" s="5">
        <v>65</v>
      </c>
      <c r="D7" s="17"/>
      <c r="E7" s="17"/>
      <c r="F7" s="17"/>
      <c r="G7" s="17"/>
      <c r="H7" s="17"/>
      <c r="I7" s="17"/>
      <c r="J7" s="17"/>
      <c r="K7" s="17"/>
      <c r="L7" s="2"/>
      <c r="M7" s="2"/>
      <c r="N7" s="2"/>
      <c r="O7" s="2"/>
      <c r="P7" s="2"/>
      <c r="Q7" s="2"/>
    </row>
    <row r="9" spans="1:17" x14ac:dyDescent="0.35">
      <c r="A9" s="6" t="s">
        <v>8</v>
      </c>
      <c r="B9" s="7"/>
      <c r="C9" s="7"/>
      <c r="D9" s="7"/>
      <c r="E9" s="7"/>
      <c r="F9" s="7"/>
      <c r="G9" s="7"/>
      <c r="H9" s="7"/>
      <c r="I9" s="7"/>
      <c r="J9" s="7"/>
      <c r="K9" s="7"/>
    </row>
    <row r="10" spans="1:17" x14ac:dyDescent="0.35">
      <c r="A10" s="8" t="s">
        <v>12</v>
      </c>
      <c r="B10" s="8" t="s">
        <v>13</v>
      </c>
      <c r="C10" s="8" t="s">
        <v>14</v>
      </c>
      <c r="D10" s="8" t="s">
        <v>19</v>
      </c>
      <c r="E10" s="7"/>
      <c r="F10" s="7"/>
      <c r="G10" s="7"/>
      <c r="H10" s="7"/>
      <c r="I10" s="7"/>
      <c r="J10" s="7"/>
      <c r="K10" s="7"/>
    </row>
    <row r="11" spans="1:17" x14ac:dyDescent="0.35">
      <c r="A11" s="9" t="s">
        <v>15</v>
      </c>
      <c r="B11" s="9">
        <v>55000</v>
      </c>
      <c r="C11" s="9">
        <v>95</v>
      </c>
      <c r="D11" s="9" t="str">
        <f>IF(AND($B11&gt;40000,$C11&gt;90),"Eligible","Not Eligible")</f>
        <v>Eligible</v>
      </c>
      <c r="E11" s="7" t="s">
        <v>20</v>
      </c>
      <c r="F11" s="7"/>
      <c r="G11" s="7"/>
      <c r="H11" s="7"/>
      <c r="I11" s="7"/>
      <c r="J11" s="7"/>
      <c r="K11" s="7"/>
    </row>
    <row r="12" spans="1:17" x14ac:dyDescent="0.35">
      <c r="A12" s="9" t="s">
        <v>16</v>
      </c>
      <c r="B12" s="9">
        <v>65000</v>
      </c>
      <c r="C12" s="9">
        <v>85</v>
      </c>
      <c r="D12" s="9" t="str">
        <f t="shared" ref="D12:D14" si="0">IF(AND($B12&gt;40000,$C12&gt;90),"Eligible","Not Eligible")</f>
        <v>Not Eligible</v>
      </c>
      <c r="E12" s="7"/>
      <c r="F12" s="7"/>
      <c r="G12" s="7"/>
      <c r="H12" s="7"/>
      <c r="I12" s="7"/>
      <c r="J12" s="7"/>
      <c r="K12" s="7"/>
    </row>
    <row r="13" spans="1:17" x14ac:dyDescent="0.35">
      <c r="A13" s="9" t="s">
        <v>17</v>
      </c>
      <c r="B13" s="9">
        <v>30000</v>
      </c>
      <c r="C13" s="9">
        <v>90</v>
      </c>
      <c r="D13" s="9" t="str">
        <f t="shared" si="0"/>
        <v>Not Eligible</v>
      </c>
      <c r="E13" s="7"/>
      <c r="F13" s="7"/>
      <c r="G13" s="7"/>
      <c r="H13" s="7"/>
      <c r="I13" s="7"/>
      <c r="J13" s="7"/>
      <c r="K13" s="7"/>
    </row>
    <row r="14" spans="1:17" x14ac:dyDescent="0.35">
      <c r="A14" s="9" t="s">
        <v>18</v>
      </c>
      <c r="B14" s="9">
        <v>25000</v>
      </c>
      <c r="C14" s="9">
        <v>65</v>
      </c>
      <c r="D14" s="9" t="str">
        <f t="shared" si="0"/>
        <v>Not Eligible</v>
      </c>
      <c r="E14" s="7"/>
      <c r="F14" s="7"/>
      <c r="G14" s="7"/>
      <c r="H14" s="7"/>
      <c r="I14" s="7"/>
      <c r="J14" s="7"/>
      <c r="K14" s="7"/>
    </row>
    <row r="15" spans="1:17" x14ac:dyDescent="0.35">
      <c r="A15" s="7"/>
      <c r="B15" s="7"/>
      <c r="C15" s="7"/>
      <c r="D15" s="7"/>
      <c r="E15" s="7"/>
      <c r="F15" s="7"/>
      <c r="G15" s="7"/>
      <c r="H15" s="7"/>
      <c r="I15" s="7"/>
      <c r="J15" s="7"/>
      <c r="K15" s="7"/>
    </row>
  </sheetData>
  <mergeCells count="1">
    <mergeCell ref="A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AABEF-737B-42E1-B095-36EEF788E00D}">
  <dimension ref="A1:K17"/>
  <sheetViews>
    <sheetView workbookViewId="0">
      <selection sqref="A1:J8"/>
    </sheetView>
  </sheetViews>
  <sheetFormatPr defaultRowHeight="14.5" x14ac:dyDescent="0.35"/>
  <cols>
    <col min="1" max="1" width="15.453125" customWidth="1"/>
    <col min="2" max="2" width="11.7265625" customWidth="1"/>
  </cols>
  <sheetData>
    <row r="1" spans="1:11" x14ac:dyDescent="0.35">
      <c r="A1" s="18" t="s">
        <v>21</v>
      </c>
      <c r="B1" s="18"/>
      <c r="C1" s="18"/>
      <c r="D1" s="18"/>
      <c r="E1" s="18"/>
      <c r="F1" s="18"/>
      <c r="G1" s="18"/>
      <c r="H1" s="18"/>
      <c r="I1" s="18"/>
      <c r="J1" s="18"/>
    </row>
    <row r="2" spans="1:11" x14ac:dyDescent="0.35">
      <c r="A2" s="18" t="s">
        <v>75</v>
      </c>
      <c r="B2" s="18"/>
      <c r="C2" s="18"/>
      <c r="D2" s="18"/>
      <c r="E2" s="18"/>
      <c r="F2" s="18"/>
      <c r="G2" s="18"/>
      <c r="H2" s="18"/>
      <c r="I2" s="18"/>
      <c r="J2" s="18"/>
    </row>
    <row r="3" spans="1:11" x14ac:dyDescent="0.35">
      <c r="A3" s="5" t="s">
        <v>1</v>
      </c>
      <c r="B3" s="5" t="s">
        <v>2</v>
      </c>
      <c r="C3" s="17"/>
      <c r="D3" s="17"/>
      <c r="E3" s="17"/>
      <c r="F3" s="17"/>
      <c r="G3" s="17"/>
      <c r="H3" s="17"/>
      <c r="I3" s="17"/>
      <c r="J3" s="17"/>
    </row>
    <row r="4" spans="1:11" x14ac:dyDescent="0.35">
      <c r="A4" s="5" t="s">
        <v>22</v>
      </c>
      <c r="B4" s="5">
        <v>85</v>
      </c>
      <c r="C4" s="17"/>
      <c r="D4" s="17"/>
      <c r="E4" s="17"/>
      <c r="F4" s="17"/>
      <c r="G4" s="17"/>
      <c r="H4" s="17"/>
      <c r="I4" s="17"/>
      <c r="J4" s="17"/>
    </row>
    <row r="5" spans="1:11" x14ac:dyDescent="0.35">
      <c r="A5" s="5" t="s">
        <v>23</v>
      </c>
      <c r="B5" s="5">
        <v>96</v>
      </c>
      <c r="C5" s="17"/>
      <c r="D5" s="17"/>
      <c r="E5" s="17"/>
      <c r="F5" s="17"/>
      <c r="G5" s="17"/>
      <c r="H5" s="17"/>
      <c r="I5" s="17"/>
      <c r="J5" s="17"/>
    </row>
    <row r="6" spans="1:11" x14ac:dyDescent="0.35">
      <c r="A6" s="5" t="s">
        <v>24</v>
      </c>
      <c r="B6" s="5">
        <v>57</v>
      </c>
      <c r="C6" s="17"/>
      <c r="D6" s="17"/>
      <c r="E6" s="17"/>
      <c r="F6" s="17"/>
      <c r="G6" s="17"/>
      <c r="H6" s="17"/>
      <c r="I6" s="17"/>
      <c r="J6" s="17"/>
    </row>
    <row r="7" spans="1:11" x14ac:dyDescent="0.35">
      <c r="A7" s="5" t="s">
        <v>25</v>
      </c>
      <c r="B7" s="5">
        <v>92</v>
      </c>
      <c r="C7" s="17"/>
      <c r="D7" s="17"/>
      <c r="E7" s="17"/>
      <c r="F7" s="17"/>
      <c r="G7" s="17"/>
      <c r="H7" s="17"/>
      <c r="I7" s="17"/>
      <c r="J7" s="17"/>
    </row>
    <row r="8" spans="1:11" x14ac:dyDescent="0.35">
      <c r="A8" s="5" t="s">
        <v>26</v>
      </c>
      <c r="B8" s="5">
        <v>75</v>
      </c>
      <c r="C8" s="17"/>
      <c r="D8" s="17"/>
      <c r="E8" s="17"/>
      <c r="F8" s="17"/>
      <c r="G8" s="17"/>
      <c r="H8" s="17"/>
      <c r="I8" s="17"/>
      <c r="J8" s="17"/>
    </row>
    <row r="10" spans="1:11" x14ac:dyDescent="0.35">
      <c r="A10" s="6" t="s">
        <v>8</v>
      </c>
      <c r="B10" s="7"/>
      <c r="C10" s="7"/>
      <c r="D10" s="7"/>
      <c r="E10" s="7"/>
      <c r="F10" s="7"/>
      <c r="G10" s="7"/>
      <c r="H10" s="7"/>
      <c r="I10" s="7"/>
      <c r="J10" s="7"/>
      <c r="K10" s="2"/>
    </row>
    <row r="11" spans="1:11" x14ac:dyDescent="0.35">
      <c r="A11" s="8" t="s">
        <v>1</v>
      </c>
      <c r="B11" s="8" t="s">
        <v>2</v>
      </c>
      <c r="C11" s="8" t="s">
        <v>27</v>
      </c>
      <c r="D11" s="7"/>
      <c r="E11" s="7"/>
      <c r="F11" s="7"/>
      <c r="G11" s="7"/>
      <c r="H11" s="7"/>
      <c r="I11" s="7"/>
      <c r="J11" s="7"/>
      <c r="K11" s="2"/>
    </row>
    <row r="12" spans="1:11" x14ac:dyDescent="0.35">
      <c r="A12" s="9" t="s">
        <v>22</v>
      </c>
      <c r="B12" s="9">
        <v>85</v>
      </c>
      <c r="C12" s="9" t="str">
        <f>IF($B12&gt;=90,"A",IF($B12&gt;=75,"B",IF($B12&gt;=50,"C","Fail")))</f>
        <v>B</v>
      </c>
      <c r="D12" s="7" t="s">
        <v>28</v>
      </c>
      <c r="E12" s="7"/>
      <c r="F12" s="7"/>
      <c r="G12" s="7"/>
      <c r="H12" s="7"/>
      <c r="I12" s="7"/>
      <c r="J12" s="7"/>
      <c r="K12" s="2"/>
    </row>
    <row r="13" spans="1:11" x14ac:dyDescent="0.35">
      <c r="A13" s="9" t="s">
        <v>23</v>
      </c>
      <c r="B13" s="9">
        <v>96</v>
      </c>
      <c r="C13" s="9" t="str">
        <f t="shared" ref="C13:C16" si="0">IF($B13&gt;=90,"A",IF($B13&gt;=75,"B",IF($B13&gt;=50,"C","Fail")))</f>
        <v>A</v>
      </c>
      <c r="D13" s="7"/>
      <c r="E13" s="7"/>
      <c r="F13" s="7"/>
      <c r="G13" s="7"/>
      <c r="H13" s="7"/>
      <c r="I13" s="7"/>
      <c r="J13" s="7"/>
      <c r="K13" s="2"/>
    </row>
    <row r="14" spans="1:11" x14ac:dyDescent="0.35">
      <c r="A14" s="9" t="s">
        <v>24</v>
      </c>
      <c r="B14" s="9">
        <v>57</v>
      </c>
      <c r="C14" s="9" t="str">
        <f t="shared" si="0"/>
        <v>C</v>
      </c>
      <c r="D14" s="7"/>
      <c r="E14" s="7"/>
      <c r="F14" s="7"/>
      <c r="G14" s="7"/>
      <c r="H14" s="7"/>
      <c r="I14" s="7"/>
      <c r="J14" s="7"/>
      <c r="K14" s="2"/>
    </row>
    <row r="15" spans="1:11" x14ac:dyDescent="0.35">
      <c r="A15" s="9" t="s">
        <v>25</v>
      </c>
      <c r="B15" s="9">
        <v>92</v>
      </c>
      <c r="C15" s="9" t="str">
        <f t="shared" si="0"/>
        <v>A</v>
      </c>
      <c r="D15" s="7"/>
      <c r="E15" s="7"/>
      <c r="F15" s="7"/>
      <c r="G15" s="7"/>
      <c r="H15" s="7"/>
      <c r="I15" s="7"/>
      <c r="J15" s="7"/>
      <c r="K15" s="2"/>
    </row>
    <row r="16" spans="1:11" x14ac:dyDescent="0.35">
      <c r="A16" s="9" t="s">
        <v>26</v>
      </c>
      <c r="B16" s="9">
        <v>75</v>
      </c>
      <c r="C16" s="9" t="str">
        <f t="shared" si="0"/>
        <v>B</v>
      </c>
      <c r="D16" s="7"/>
      <c r="E16" s="7"/>
      <c r="F16" s="7"/>
      <c r="G16" s="7"/>
      <c r="H16" s="7"/>
      <c r="I16" s="7"/>
      <c r="J16" s="7"/>
      <c r="K16" s="2"/>
    </row>
    <row r="17" spans="1:11" x14ac:dyDescent="0.35">
      <c r="A17" s="7"/>
      <c r="B17" s="7"/>
      <c r="C17" s="7"/>
      <c r="D17" s="7"/>
      <c r="E17" s="7"/>
      <c r="F17" s="7"/>
      <c r="G17" s="7"/>
      <c r="H17" s="7"/>
      <c r="I17" s="7"/>
      <c r="J17" s="7"/>
      <c r="K17" s="2"/>
    </row>
  </sheetData>
  <mergeCells count="2">
    <mergeCell ref="A2:J2"/>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627E0-8A6D-4641-8D6D-D3ADCC45AB44}">
  <dimension ref="A1:O41"/>
  <sheetViews>
    <sheetView workbookViewId="0">
      <selection sqref="A1:K6"/>
    </sheetView>
  </sheetViews>
  <sheetFormatPr defaultRowHeight="14.5" x14ac:dyDescent="0.35"/>
  <cols>
    <col min="2" max="2" width="11.1796875" customWidth="1"/>
    <col min="3" max="3" width="14.453125" customWidth="1"/>
  </cols>
  <sheetData>
    <row r="1" spans="1:15" x14ac:dyDescent="0.35">
      <c r="A1" s="19" t="s">
        <v>29</v>
      </c>
      <c r="B1" s="19"/>
      <c r="C1" s="19"/>
      <c r="D1" s="19"/>
      <c r="E1" s="19"/>
      <c r="F1" s="19"/>
      <c r="G1" s="19"/>
      <c r="H1" s="19"/>
      <c r="I1" s="19"/>
      <c r="J1" s="19"/>
      <c r="K1" s="19"/>
      <c r="L1" s="3"/>
      <c r="M1" s="3"/>
      <c r="N1" s="3"/>
      <c r="O1" s="3"/>
    </row>
    <row r="2" spans="1:15" x14ac:dyDescent="0.35">
      <c r="A2" s="5" t="s">
        <v>30</v>
      </c>
      <c r="B2" s="5" t="s">
        <v>31</v>
      </c>
      <c r="C2" s="5" t="s">
        <v>32</v>
      </c>
      <c r="D2" s="17"/>
      <c r="E2" s="17"/>
      <c r="F2" s="17"/>
      <c r="G2" s="17"/>
      <c r="H2" s="17"/>
      <c r="I2" s="17"/>
      <c r="J2" s="17"/>
      <c r="K2" s="17"/>
    </row>
    <row r="3" spans="1:15" x14ac:dyDescent="0.35">
      <c r="A3" s="5" t="s">
        <v>33</v>
      </c>
      <c r="B3" s="5" t="s">
        <v>5</v>
      </c>
      <c r="C3" s="5" t="s">
        <v>34</v>
      </c>
      <c r="D3" s="17"/>
      <c r="E3" s="17"/>
      <c r="F3" s="17"/>
      <c r="G3" s="17"/>
      <c r="H3" s="17"/>
      <c r="I3" s="17"/>
      <c r="J3" s="17"/>
      <c r="K3" s="17"/>
    </row>
    <row r="4" spans="1:15" x14ac:dyDescent="0.35">
      <c r="A4" s="5" t="s">
        <v>35</v>
      </c>
      <c r="B4" s="5" t="s">
        <v>3</v>
      </c>
      <c r="C4" s="5" t="s">
        <v>36</v>
      </c>
      <c r="D4" s="17"/>
      <c r="E4" s="17"/>
      <c r="F4" s="17"/>
      <c r="G4" s="17"/>
      <c r="H4" s="17"/>
      <c r="I4" s="17"/>
      <c r="J4" s="17"/>
      <c r="K4" s="17"/>
    </row>
    <row r="5" spans="1:15" x14ac:dyDescent="0.35">
      <c r="A5" s="5" t="s">
        <v>37</v>
      </c>
      <c r="B5" s="5" t="s">
        <v>38</v>
      </c>
      <c r="C5" s="5" t="s">
        <v>39</v>
      </c>
      <c r="D5" s="17"/>
      <c r="E5" s="17"/>
      <c r="F5" s="17"/>
      <c r="G5" s="17"/>
      <c r="H5" s="17"/>
      <c r="I5" s="17"/>
      <c r="J5" s="17"/>
      <c r="K5" s="17"/>
    </row>
    <row r="6" spans="1:15" x14ac:dyDescent="0.35">
      <c r="A6" s="5" t="s">
        <v>40</v>
      </c>
      <c r="B6" s="5" t="s">
        <v>41</v>
      </c>
      <c r="C6" s="5" t="s">
        <v>42</v>
      </c>
      <c r="D6" s="17"/>
      <c r="E6" s="17"/>
      <c r="F6" s="17"/>
      <c r="G6" s="17"/>
      <c r="H6" s="17"/>
      <c r="I6" s="17"/>
      <c r="J6" s="17"/>
      <c r="K6" s="17"/>
    </row>
    <row r="8" spans="1:15" x14ac:dyDescent="0.35">
      <c r="A8" s="6" t="s">
        <v>8</v>
      </c>
      <c r="B8" s="7"/>
      <c r="C8" s="7"/>
      <c r="D8" s="7"/>
      <c r="E8" s="7"/>
      <c r="F8" s="7"/>
      <c r="G8" s="7"/>
      <c r="H8" s="7"/>
      <c r="I8" s="7"/>
      <c r="J8" s="7"/>
      <c r="K8" s="7"/>
    </row>
    <row r="9" spans="1:15" x14ac:dyDescent="0.35">
      <c r="A9" s="8" t="s">
        <v>30</v>
      </c>
      <c r="B9" s="8" t="s">
        <v>31</v>
      </c>
      <c r="C9" s="8" t="s">
        <v>32</v>
      </c>
      <c r="D9" s="7"/>
      <c r="E9" s="7"/>
      <c r="F9" s="7"/>
      <c r="G9" s="7"/>
      <c r="H9" s="7"/>
      <c r="I9" s="7"/>
      <c r="J9" s="7"/>
      <c r="K9" s="7"/>
    </row>
    <row r="10" spans="1:15" x14ac:dyDescent="0.35">
      <c r="A10" s="9" t="s">
        <v>33</v>
      </c>
      <c r="B10" s="9" t="s">
        <v>5</v>
      </c>
      <c r="C10" s="9" t="s">
        <v>34</v>
      </c>
      <c r="D10" s="7"/>
      <c r="E10" s="7"/>
      <c r="F10" s="7"/>
      <c r="G10" s="7"/>
      <c r="H10" s="7"/>
      <c r="I10" s="7"/>
      <c r="J10" s="7"/>
      <c r="K10" s="7"/>
    </row>
    <row r="11" spans="1:15" x14ac:dyDescent="0.35">
      <c r="A11" s="9" t="s">
        <v>35</v>
      </c>
      <c r="B11" s="9" t="s">
        <v>3</v>
      </c>
      <c r="C11" s="9" t="s">
        <v>36</v>
      </c>
      <c r="D11" s="7"/>
      <c r="E11" s="7" t="str">
        <f>VLOOKUP($A12,$A$9:$C$13,3,FALSE)</f>
        <v>FINANCE</v>
      </c>
      <c r="F11" s="7"/>
      <c r="G11" s="7"/>
      <c r="H11" s="7"/>
      <c r="I11" s="7"/>
      <c r="J11" s="7"/>
      <c r="K11" s="7"/>
    </row>
    <row r="12" spans="1:15" x14ac:dyDescent="0.35">
      <c r="A12" s="9" t="s">
        <v>37</v>
      </c>
      <c r="B12" s="9" t="s">
        <v>38</v>
      </c>
      <c r="C12" s="9" t="s">
        <v>39</v>
      </c>
      <c r="D12" s="7"/>
      <c r="E12" s="11" t="s">
        <v>43</v>
      </c>
      <c r="F12" s="7"/>
      <c r="G12" s="7"/>
      <c r="H12" s="7"/>
      <c r="I12" s="7"/>
      <c r="J12" s="7"/>
      <c r="K12" s="7"/>
    </row>
    <row r="13" spans="1:15" x14ac:dyDescent="0.35">
      <c r="A13" s="9" t="s">
        <v>40</v>
      </c>
      <c r="B13" s="9" t="s">
        <v>41</v>
      </c>
      <c r="C13" s="9" t="s">
        <v>42</v>
      </c>
      <c r="D13" s="7"/>
      <c r="E13" s="7"/>
      <c r="F13" s="7"/>
      <c r="G13" s="7"/>
      <c r="H13" s="7"/>
      <c r="I13" s="7"/>
      <c r="J13" s="7"/>
      <c r="K13" s="7"/>
    </row>
    <row r="14" spans="1:15" ht="61" customHeight="1" x14ac:dyDescent="0.35">
      <c r="A14" s="12" t="s">
        <v>74</v>
      </c>
      <c r="B14" s="12"/>
      <c r="C14" s="12"/>
      <c r="D14" s="12"/>
      <c r="E14" s="12"/>
      <c r="F14" s="12"/>
      <c r="G14" s="12"/>
      <c r="H14" s="12"/>
      <c r="I14" s="12"/>
      <c r="J14" s="12"/>
      <c r="K14" s="12"/>
    </row>
    <row r="15" spans="1:15" x14ac:dyDescent="0.35">
      <c r="A15" s="2"/>
      <c r="B15" s="2"/>
      <c r="C15" s="2"/>
      <c r="D15" s="2"/>
      <c r="E15" s="2"/>
      <c r="F15" s="2"/>
      <c r="G15" s="2"/>
      <c r="H15" s="2"/>
      <c r="I15" s="2"/>
      <c r="J15" s="2"/>
      <c r="K15" s="2"/>
    </row>
    <row r="16" spans="1:15" x14ac:dyDescent="0.35">
      <c r="A16" s="2"/>
      <c r="B16" s="2"/>
      <c r="C16" s="2"/>
      <c r="D16" s="2"/>
      <c r="E16" s="2"/>
      <c r="F16" s="2"/>
      <c r="G16" s="2"/>
      <c r="H16" s="2"/>
      <c r="I16" s="2"/>
      <c r="J16" s="2"/>
      <c r="K16" s="2"/>
    </row>
    <row r="17" spans="1:11" x14ac:dyDescent="0.35">
      <c r="A17" s="2"/>
      <c r="B17" s="2"/>
      <c r="C17" s="2"/>
      <c r="D17" s="2"/>
      <c r="E17" s="2"/>
      <c r="F17" s="2"/>
      <c r="G17" s="2"/>
      <c r="H17" s="2"/>
      <c r="I17" s="2"/>
      <c r="J17" s="2"/>
      <c r="K17" s="2"/>
    </row>
    <row r="18" spans="1:11" x14ac:dyDescent="0.35">
      <c r="A18" s="2"/>
      <c r="B18" s="2"/>
      <c r="C18" s="2"/>
      <c r="D18" s="2"/>
      <c r="E18" s="2"/>
      <c r="F18" s="2"/>
      <c r="G18" s="2"/>
      <c r="H18" s="2"/>
      <c r="I18" s="2"/>
      <c r="J18" s="2"/>
      <c r="K18" s="2"/>
    </row>
    <row r="30" spans="1:11" ht="14" customHeight="1" x14ac:dyDescent="0.35"/>
    <row r="31" spans="1:11" ht="14" customHeight="1" x14ac:dyDescent="0.35"/>
    <row r="32" spans="1:11" ht="14" customHeight="1" x14ac:dyDescent="0.35"/>
    <row r="33" ht="14" customHeight="1" x14ac:dyDescent="0.35"/>
    <row r="34" ht="14" customHeight="1" x14ac:dyDescent="0.35"/>
    <row r="35" ht="14" customHeight="1" x14ac:dyDescent="0.35"/>
    <row r="36" ht="14" customHeight="1" x14ac:dyDescent="0.35"/>
    <row r="37" ht="14" customHeight="1" x14ac:dyDescent="0.35"/>
    <row r="38" ht="14" customHeight="1" x14ac:dyDescent="0.35"/>
    <row r="39" ht="14" customHeight="1" x14ac:dyDescent="0.35"/>
    <row r="40" ht="14" customHeight="1" x14ac:dyDescent="0.35"/>
    <row r="41" ht="14" customHeight="1" x14ac:dyDescent="0.35"/>
  </sheetData>
  <mergeCells count="1">
    <mergeCell ref="A14:K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E31B-ADC4-498A-A337-46F1EB8C4F27}">
  <dimension ref="A1:R17"/>
  <sheetViews>
    <sheetView workbookViewId="0">
      <selection sqref="A1:M8"/>
    </sheetView>
  </sheetViews>
  <sheetFormatPr defaultRowHeight="14.5" x14ac:dyDescent="0.35"/>
  <cols>
    <col min="1" max="1" width="10.90625" customWidth="1"/>
    <col min="2" max="2" width="16.81640625" customWidth="1"/>
    <col min="3" max="3" width="0.90625" customWidth="1"/>
  </cols>
  <sheetData>
    <row r="1" spans="1:18" x14ac:dyDescent="0.35">
      <c r="A1" s="17" t="s">
        <v>44</v>
      </c>
      <c r="B1" s="17"/>
      <c r="C1" s="17"/>
      <c r="D1" s="17"/>
      <c r="E1" s="17"/>
      <c r="F1" s="17"/>
      <c r="G1" s="17"/>
      <c r="H1" s="17"/>
      <c r="I1" s="17"/>
      <c r="J1" s="17"/>
      <c r="K1" s="17"/>
      <c r="L1" s="17"/>
      <c r="M1" s="17"/>
    </row>
    <row r="2" spans="1:18" x14ac:dyDescent="0.35">
      <c r="A2" s="5" t="s">
        <v>45</v>
      </c>
      <c r="B2" s="5" t="s">
        <v>46</v>
      </c>
      <c r="C2" s="17"/>
      <c r="D2" s="17"/>
      <c r="E2" s="17"/>
      <c r="F2" s="17"/>
      <c r="G2" s="17"/>
      <c r="H2" s="17"/>
      <c r="I2" s="17"/>
      <c r="J2" s="17"/>
      <c r="K2" s="17"/>
      <c r="L2" s="17"/>
      <c r="M2" s="17"/>
    </row>
    <row r="3" spans="1:18" x14ac:dyDescent="0.35">
      <c r="A3" s="5">
        <v>0</v>
      </c>
      <c r="B3" s="20">
        <v>0.05</v>
      </c>
      <c r="C3" s="17"/>
      <c r="D3" s="17"/>
      <c r="E3" s="17"/>
      <c r="F3" s="17"/>
      <c r="G3" s="17"/>
      <c r="H3" s="17"/>
      <c r="I3" s="17"/>
      <c r="J3" s="17"/>
      <c r="K3" s="17"/>
      <c r="L3" s="17"/>
      <c r="M3" s="17"/>
    </row>
    <row r="4" spans="1:18" x14ac:dyDescent="0.35">
      <c r="A4" s="5">
        <v>20000</v>
      </c>
      <c r="B4" s="20">
        <v>0.1</v>
      </c>
      <c r="C4" s="17"/>
      <c r="D4" s="17"/>
      <c r="E4" s="17"/>
      <c r="F4" s="17"/>
      <c r="G4" s="17"/>
      <c r="H4" s="17"/>
      <c r="I4" s="17"/>
      <c r="J4" s="17"/>
      <c r="K4" s="17"/>
      <c r="L4" s="17"/>
      <c r="M4" s="17"/>
    </row>
    <row r="5" spans="1:18" x14ac:dyDescent="0.35">
      <c r="A5" s="5">
        <v>50000</v>
      </c>
      <c r="B5" s="20">
        <v>0.15</v>
      </c>
      <c r="C5" s="17"/>
      <c r="D5" s="17"/>
      <c r="E5" s="17"/>
      <c r="F5" s="17"/>
      <c r="G5" s="17"/>
      <c r="H5" s="17"/>
      <c r="I5" s="17"/>
      <c r="J5" s="17"/>
      <c r="K5" s="17"/>
      <c r="L5" s="17"/>
      <c r="M5" s="17"/>
    </row>
    <row r="6" spans="1:18" x14ac:dyDescent="0.35">
      <c r="A6" s="5">
        <v>80000</v>
      </c>
      <c r="B6" s="20">
        <v>0.2</v>
      </c>
      <c r="C6" s="17"/>
      <c r="D6" s="17"/>
      <c r="E6" s="17"/>
      <c r="F6" s="17"/>
      <c r="G6" s="17"/>
      <c r="H6" s="17"/>
      <c r="I6" s="17"/>
      <c r="J6" s="17"/>
      <c r="K6" s="17"/>
      <c r="L6" s="17"/>
      <c r="M6" s="17"/>
    </row>
    <row r="7" spans="1:18" x14ac:dyDescent="0.35">
      <c r="A7" s="17" t="s">
        <v>47</v>
      </c>
      <c r="B7" s="17"/>
      <c r="C7" s="17"/>
      <c r="D7" s="17"/>
      <c r="E7" s="17"/>
      <c r="F7" s="17"/>
      <c r="G7" s="17"/>
      <c r="H7" s="17"/>
      <c r="I7" s="17"/>
      <c r="J7" s="17"/>
      <c r="K7" s="17"/>
      <c r="L7" s="17"/>
      <c r="M7" s="17"/>
    </row>
    <row r="8" spans="1:18" x14ac:dyDescent="0.35">
      <c r="A8" s="17"/>
      <c r="B8" s="17"/>
      <c r="C8" s="17"/>
      <c r="D8" s="17"/>
      <c r="E8" s="17"/>
      <c r="F8" s="17"/>
      <c r="G8" s="17"/>
      <c r="H8" s="17"/>
      <c r="I8" s="17"/>
      <c r="J8" s="17"/>
      <c r="K8" s="17"/>
      <c r="L8" s="17"/>
      <c r="M8" s="17"/>
    </row>
    <row r="10" spans="1:18" x14ac:dyDescent="0.35">
      <c r="A10" s="6" t="s">
        <v>8</v>
      </c>
      <c r="B10" s="7"/>
      <c r="C10" s="7"/>
      <c r="D10" s="7"/>
      <c r="E10" s="7"/>
      <c r="F10" s="7"/>
      <c r="G10" s="7"/>
      <c r="H10" s="7"/>
      <c r="I10" s="7"/>
      <c r="J10" s="7"/>
      <c r="K10" s="7"/>
      <c r="L10" s="7"/>
      <c r="M10" s="7"/>
      <c r="N10" s="2"/>
      <c r="O10" s="2"/>
      <c r="P10" s="2"/>
      <c r="Q10" s="2"/>
      <c r="R10" s="2"/>
    </row>
    <row r="11" spans="1:18" x14ac:dyDescent="0.35">
      <c r="A11" s="8" t="s">
        <v>45</v>
      </c>
      <c r="B11" s="8" t="s">
        <v>46</v>
      </c>
      <c r="C11" s="7"/>
      <c r="D11" s="7"/>
      <c r="E11" s="7"/>
      <c r="F11" s="7"/>
      <c r="G11" s="7"/>
      <c r="H11" s="7"/>
      <c r="I11" s="7"/>
      <c r="J11" s="7"/>
      <c r="K11" s="7"/>
      <c r="L11" s="7"/>
      <c r="M11" s="7"/>
      <c r="N11" s="2"/>
      <c r="O11" s="2"/>
      <c r="P11" s="2"/>
      <c r="Q11" s="2"/>
      <c r="R11" s="2"/>
    </row>
    <row r="12" spans="1:18" x14ac:dyDescent="0.35">
      <c r="A12" s="9">
        <v>0</v>
      </c>
      <c r="B12" s="13">
        <v>0.05</v>
      </c>
      <c r="C12" s="7"/>
      <c r="D12" s="7"/>
      <c r="E12" s="7"/>
      <c r="F12" s="7"/>
      <c r="G12" s="7"/>
      <c r="H12" s="7"/>
      <c r="I12" s="7"/>
      <c r="J12" s="7"/>
      <c r="K12" s="7"/>
      <c r="L12" s="7"/>
      <c r="M12" s="7"/>
      <c r="N12" s="2"/>
      <c r="O12" s="2"/>
      <c r="P12" s="2"/>
      <c r="Q12" s="2"/>
      <c r="R12" s="2"/>
    </row>
    <row r="13" spans="1:18" x14ac:dyDescent="0.35">
      <c r="A13" s="9">
        <v>20000</v>
      </c>
      <c r="B13" s="13">
        <v>0.1</v>
      </c>
      <c r="C13" s="7"/>
      <c r="D13" s="14">
        <f>VLOOKUP(45000,$A$11:$B$15,2,TRUE)</f>
        <v>0.1</v>
      </c>
      <c r="E13" s="7"/>
      <c r="F13" s="7"/>
      <c r="G13" s="7"/>
      <c r="H13" s="7"/>
      <c r="I13" s="7"/>
      <c r="J13" s="7"/>
      <c r="K13" s="7"/>
      <c r="L13" s="7"/>
      <c r="M13" s="7"/>
      <c r="N13" s="2"/>
      <c r="O13" s="2"/>
      <c r="P13" s="2"/>
      <c r="Q13" s="2"/>
      <c r="R13" s="2"/>
    </row>
    <row r="14" spans="1:18" x14ac:dyDescent="0.35">
      <c r="A14" s="9">
        <v>50000</v>
      </c>
      <c r="B14" s="13">
        <v>0.15</v>
      </c>
      <c r="C14" s="7"/>
      <c r="D14" s="7" t="s">
        <v>48</v>
      </c>
      <c r="E14" s="7"/>
      <c r="F14" s="7"/>
      <c r="G14" s="7"/>
      <c r="H14" s="7"/>
      <c r="I14" s="7"/>
      <c r="J14" s="7"/>
      <c r="K14" s="7"/>
      <c r="L14" s="7"/>
      <c r="M14" s="7"/>
      <c r="N14" s="2"/>
      <c r="O14" s="2"/>
      <c r="P14" s="2"/>
      <c r="Q14" s="2"/>
      <c r="R14" s="2"/>
    </row>
    <row r="15" spans="1:18" x14ac:dyDescent="0.35">
      <c r="A15" s="9">
        <v>80000</v>
      </c>
      <c r="B15" s="13">
        <v>0.2</v>
      </c>
      <c r="C15" s="7"/>
      <c r="D15" s="7"/>
      <c r="E15" s="7"/>
      <c r="F15" s="7"/>
      <c r="G15" s="7"/>
      <c r="H15" s="7"/>
      <c r="I15" s="7"/>
      <c r="J15" s="7"/>
      <c r="K15" s="7"/>
      <c r="L15" s="7"/>
      <c r="M15" s="7"/>
      <c r="N15" s="2"/>
      <c r="O15" s="2"/>
      <c r="P15" s="2"/>
      <c r="Q15" s="2"/>
      <c r="R15" s="2"/>
    </row>
    <row r="16" spans="1:18" ht="29" customHeight="1" x14ac:dyDescent="0.35">
      <c r="A16" s="7"/>
      <c r="B16" s="7"/>
      <c r="C16" s="7"/>
      <c r="D16" s="12" t="s">
        <v>49</v>
      </c>
      <c r="E16" s="12"/>
      <c r="F16" s="12"/>
      <c r="G16" s="12"/>
      <c r="H16" s="12"/>
      <c r="I16" s="12"/>
      <c r="J16" s="12"/>
      <c r="K16" s="12"/>
      <c r="L16" s="12"/>
      <c r="M16" s="12"/>
      <c r="N16" s="2"/>
      <c r="O16" s="2"/>
      <c r="P16" s="2"/>
      <c r="Q16" s="2"/>
      <c r="R16" s="2"/>
    </row>
    <row r="17" spans="1:18" x14ac:dyDescent="0.35">
      <c r="A17" s="7"/>
      <c r="B17" s="7"/>
      <c r="C17" s="7"/>
      <c r="D17" s="7" t="s">
        <v>50</v>
      </c>
      <c r="E17" s="7"/>
      <c r="F17" s="7"/>
      <c r="G17" s="7"/>
      <c r="H17" s="7"/>
      <c r="I17" s="7"/>
      <c r="J17" s="7"/>
      <c r="K17" s="7"/>
      <c r="L17" s="7"/>
      <c r="M17" s="7"/>
      <c r="N17" s="2"/>
      <c r="O17" s="2"/>
      <c r="P17" s="2"/>
      <c r="Q17" s="2"/>
      <c r="R17" s="2"/>
    </row>
  </sheetData>
  <mergeCells count="1">
    <mergeCell ref="D16:M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7C3D7-F215-4BCE-A5DD-443C702DEA64}">
  <dimension ref="A1:J16"/>
  <sheetViews>
    <sheetView workbookViewId="0">
      <selection activeCell="J8" sqref="A1:J8"/>
    </sheetView>
  </sheetViews>
  <sheetFormatPr defaultRowHeight="14.5" x14ac:dyDescent="0.35"/>
  <cols>
    <col min="1" max="1" width="15.453125" customWidth="1"/>
    <col min="2" max="2" width="18.1796875" customWidth="1"/>
    <col min="3" max="3" width="15.90625" customWidth="1"/>
    <col min="4" max="4" width="16.7265625" customWidth="1"/>
  </cols>
  <sheetData>
    <row r="1" spans="1:10" x14ac:dyDescent="0.35">
      <c r="A1" s="17" t="s">
        <v>51</v>
      </c>
      <c r="B1" s="17"/>
      <c r="C1" s="17"/>
      <c r="D1" s="17"/>
      <c r="E1" s="17"/>
      <c r="F1" s="17"/>
      <c r="G1" s="17"/>
      <c r="H1" s="17"/>
      <c r="I1" s="17"/>
      <c r="J1" s="17"/>
    </row>
    <row r="2" spans="1:10" x14ac:dyDescent="0.35">
      <c r="A2" s="5" t="s">
        <v>52</v>
      </c>
      <c r="B2" s="5" t="s">
        <v>53</v>
      </c>
      <c r="C2" s="5" t="s">
        <v>54</v>
      </c>
      <c r="D2" s="17"/>
      <c r="E2" s="17"/>
      <c r="F2" s="17"/>
      <c r="G2" s="17"/>
      <c r="H2" s="17"/>
      <c r="I2" s="17"/>
      <c r="J2" s="17"/>
    </row>
    <row r="3" spans="1:10" x14ac:dyDescent="0.35">
      <c r="A3" s="5" t="s">
        <v>55</v>
      </c>
      <c r="B3" s="5">
        <v>10</v>
      </c>
      <c r="C3" s="5">
        <v>12</v>
      </c>
      <c r="D3" s="17"/>
      <c r="E3" s="17"/>
      <c r="F3" s="17"/>
      <c r="G3" s="17"/>
      <c r="H3" s="17"/>
      <c r="I3" s="17"/>
      <c r="J3" s="17"/>
    </row>
    <row r="4" spans="1:10" x14ac:dyDescent="0.35">
      <c r="A4" s="5" t="s">
        <v>56</v>
      </c>
      <c r="B4" s="5">
        <v>10</v>
      </c>
      <c r="C4" s="5">
        <v>15</v>
      </c>
      <c r="D4" s="17"/>
      <c r="E4" s="17"/>
      <c r="F4" s="17"/>
      <c r="G4" s="17"/>
      <c r="H4" s="17"/>
      <c r="I4" s="17"/>
      <c r="J4" s="17"/>
    </row>
    <row r="5" spans="1:10" x14ac:dyDescent="0.35">
      <c r="A5" s="5" t="s">
        <v>57</v>
      </c>
      <c r="B5" s="5">
        <v>8</v>
      </c>
      <c r="C5" s="5">
        <v>12</v>
      </c>
      <c r="D5" s="17"/>
      <c r="E5" s="17"/>
      <c r="F5" s="17"/>
      <c r="G5" s="17"/>
      <c r="H5" s="17"/>
      <c r="I5" s="17"/>
      <c r="J5" s="17"/>
    </row>
    <row r="6" spans="1:10" x14ac:dyDescent="0.35">
      <c r="A6" s="17" t="s">
        <v>58</v>
      </c>
      <c r="B6" s="17"/>
      <c r="C6" s="17"/>
      <c r="D6" s="17"/>
      <c r="E6" s="17"/>
      <c r="F6" s="17"/>
      <c r="G6" s="17"/>
      <c r="H6" s="17"/>
      <c r="I6" s="17"/>
      <c r="J6" s="17"/>
    </row>
    <row r="7" spans="1:10" x14ac:dyDescent="0.35">
      <c r="A7" s="17" t="s">
        <v>59</v>
      </c>
      <c r="B7" s="17"/>
      <c r="C7" s="17"/>
      <c r="D7" s="17"/>
      <c r="E7" s="17"/>
      <c r="F7" s="17"/>
      <c r="G7" s="17"/>
      <c r="H7" s="17"/>
      <c r="I7" s="17"/>
      <c r="J7" s="17"/>
    </row>
    <row r="8" spans="1:10" x14ac:dyDescent="0.35">
      <c r="A8" s="17" t="s">
        <v>60</v>
      </c>
      <c r="B8" s="17"/>
      <c r="C8" s="17"/>
      <c r="D8" s="17"/>
      <c r="E8" s="17"/>
      <c r="F8" s="17"/>
      <c r="G8" s="17"/>
      <c r="H8" s="17"/>
      <c r="I8" s="17"/>
      <c r="J8" s="17"/>
    </row>
    <row r="9" spans="1:10" x14ac:dyDescent="0.35">
      <c r="A9" s="1"/>
      <c r="B9" s="1"/>
      <c r="C9" s="1"/>
      <c r="D9" s="1"/>
      <c r="E9" s="1"/>
      <c r="F9" s="1"/>
      <c r="G9" s="1"/>
      <c r="H9" s="1"/>
      <c r="I9" s="1"/>
      <c r="J9" s="1"/>
    </row>
    <row r="10" spans="1:10" x14ac:dyDescent="0.35">
      <c r="A10" s="6" t="s">
        <v>8</v>
      </c>
      <c r="B10" s="7"/>
      <c r="C10" s="7"/>
      <c r="D10" s="7"/>
      <c r="E10" s="7"/>
      <c r="F10" s="7"/>
      <c r="G10" s="7"/>
      <c r="H10" s="7"/>
      <c r="I10" s="7"/>
      <c r="J10" s="7"/>
    </row>
    <row r="11" spans="1:10" x14ac:dyDescent="0.35">
      <c r="A11" s="9" t="s">
        <v>52</v>
      </c>
      <c r="B11" s="9" t="s">
        <v>53</v>
      </c>
      <c r="C11" s="9" t="s">
        <v>54</v>
      </c>
      <c r="D11" s="9" t="s">
        <v>61</v>
      </c>
      <c r="E11" s="7"/>
      <c r="F11" s="7"/>
      <c r="G11" s="7"/>
      <c r="H11" s="7"/>
      <c r="I11" s="7"/>
      <c r="J11" s="7"/>
    </row>
    <row r="12" spans="1:10" x14ac:dyDescent="0.35">
      <c r="A12" s="9" t="s">
        <v>55</v>
      </c>
      <c r="B12" s="9">
        <v>10</v>
      </c>
      <c r="C12" s="9">
        <v>12</v>
      </c>
      <c r="D12" s="9" t="str">
        <f>IF($B12&lt;$C12,"OK","Exceeded")</f>
        <v>OK</v>
      </c>
      <c r="E12" s="7" t="s">
        <v>62</v>
      </c>
      <c r="F12" s="7"/>
      <c r="G12" s="7"/>
      <c r="H12" s="7"/>
      <c r="I12" s="7"/>
      <c r="J12" s="7"/>
    </row>
    <row r="13" spans="1:10" x14ac:dyDescent="0.35">
      <c r="A13" s="9" t="s">
        <v>56</v>
      </c>
      <c r="B13" s="9">
        <v>10</v>
      </c>
      <c r="C13" s="9">
        <v>15</v>
      </c>
      <c r="D13" s="9" t="str">
        <f>IF($B13&lt;$C13,"OK","Exceeded")</f>
        <v>OK</v>
      </c>
      <c r="E13" s="7"/>
      <c r="F13" s="7"/>
      <c r="G13" s="7"/>
      <c r="H13" s="7"/>
      <c r="I13" s="7"/>
      <c r="J13" s="7"/>
    </row>
    <row r="14" spans="1:10" x14ac:dyDescent="0.35">
      <c r="A14" s="9" t="s">
        <v>57</v>
      </c>
      <c r="B14" s="9">
        <v>8</v>
      </c>
      <c r="C14" s="9">
        <v>12</v>
      </c>
      <c r="D14" s="9" t="str">
        <f>IF($B14&lt;$C14,"OK","Exceeded")</f>
        <v>OK</v>
      </c>
      <c r="E14" s="7"/>
      <c r="F14" s="7"/>
      <c r="G14" s="7"/>
      <c r="H14" s="7"/>
      <c r="I14" s="7"/>
      <c r="J14" s="7"/>
    </row>
    <row r="15" spans="1:10" x14ac:dyDescent="0.35">
      <c r="A15" s="7"/>
      <c r="B15" s="7"/>
      <c r="C15" s="7"/>
      <c r="D15" s="7"/>
      <c r="E15" s="7"/>
      <c r="F15" s="7"/>
      <c r="G15" s="7"/>
      <c r="H15" s="7"/>
      <c r="I15" s="7"/>
      <c r="J15" s="7"/>
    </row>
    <row r="16" spans="1:10" x14ac:dyDescent="0.35">
      <c r="A16" s="7"/>
      <c r="B16" s="7"/>
      <c r="C16" s="7"/>
      <c r="D16" s="7"/>
      <c r="E16" s="7"/>
      <c r="F16" s="7"/>
      <c r="G16" s="7"/>
      <c r="H16" s="7"/>
      <c r="I16" s="7"/>
      <c r="J16"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5295C-2063-4A08-88F8-F5A5F8CF80FA}">
  <dimension ref="A1:G13"/>
  <sheetViews>
    <sheetView workbookViewId="0">
      <selection sqref="A1:G6"/>
    </sheetView>
  </sheetViews>
  <sheetFormatPr defaultRowHeight="14.5" x14ac:dyDescent="0.35"/>
  <cols>
    <col min="1" max="1" width="11.81640625" customWidth="1"/>
    <col min="2" max="2" width="12.36328125" customWidth="1"/>
  </cols>
  <sheetData>
    <row r="1" spans="1:7" x14ac:dyDescent="0.35">
      <c r="A1" s="17" t="s">
        <v>63</v>
      </c>
      <c r="B1" s="17"/>
      <c r="C1" s="17"/>
      <c r="D1" s="17"/>
      <c r="E1" s="17"/>
      <c r="F1" s="17"/>
      <c r="G1" s="17"/>
    </row>
    <row r="2" spans="1:7" x14ac:dyDescent="0.35">
      <c r="A2" s="5" t="s">
        <v>64</v>
      </c>
      <c r="B2" s="5" t="s">
        <v>65</v>
      </c>
      <c r="C2" s="17"/>
      <c r="D2" s="17"/>
      <c r="E2" s="17"/>
      <c r="F2" s="17"/>
      <c r="G2" s="17"/>
    </row>
    <row r="3" spans="1:7" x14ac:dyDescent="0.35">
      <c r="A3" s="5" t="s">
        <v>40</v>
      </c>
      <c r="B3" s="5">
        <v>55000</v>
      </c>
      <c r="C3" s="17"/>
      <c r="D3" s="17"/>
      <c r="E3" s="17"/>
      <c r="F3" s="17"/>
      <c r="G3" s="17"/>
    </row>
    <row r="4" spans="1:7" x14ac:dyDescent="0.35">
      <c r="A4" s="5" t="s">
        <v>66</v>
      </c>
      <c r="B4" s="5">
        <v>72000</v>
      </c>
      <c r="C4" s="17"/>
      <c r="D4" s="17"/>
      <c r="E4" s="17"/>
      <c r="F4" s="17"/>
      <c r="G4" s="17"/>
    </row>
    <row r="5" spans="1:7" x14ac:dyDescent="0.35">
      <c r="A5" s="5" t="s">
        <v>67</v>
      </c>
      <c r="B5" s="5">
        <v>62000</v>
      </c>
      <c r="C5" s="17"/>
      <c r="D5" s="17"/>
      <c r="E5" s="17"/>
      <c r="F5" s="17"/>
      <c r="G5" s="17"/>
    </row>
    <row r="6" spans="1:7" x14ac:dyDescent="0.35">
      <c r="A6" s="5" t="s">
        <v>35</v>
      </c>
      <c r="B6" s="5">
        <v>41000</v>
      </c>
      <c r="C6" s="17"/>
      <c r="D6" s="17"/>
      <c r="E6" s="17"/>
      <c r="F6" s="17"/>
      <c r="G6" s="17"/>
    </row>
    <row r="8" spans="1:7" x14ac:dyDescent="0.35">
      <c r="A8" s="6" t="s">
        <v>8</v>
      </c>
      <c r="B8" s="7"/>
      <c r="C8" s="7"/>
      <c r="D8" s="7"/>
      <c r="E8" s="7"/>
      <c r="F8" s="7"/>
      <c r="G8" s="7"/>
    </row>
    <row r="9" spans="1:7" x14ac:dyDescent="0.35">
      <c r="A9" s="7">
        <f>INDEX($A$2:$B$6,3,2)</f>
        <v>72000</v>
      </c>
      <c r="B9" s="7"/>
      <c r="C9" s="7"/>
      <c r="D9" s="7"/>
      <c r="E9" s="7"/>
      <c r="F9" s="7"/>
      <c r="G9" s="7"/>
    </row>
    <row r="10" spans="1:7" x14ac:dyDescent="0.35">
      <c r="A10" s="7" t="s">
        <v>68</v>
      </c>
      <c r="B10" s="7"/>
      <c r="C10" s="7"/>
      <c r="D10" s="7"/>
      <c r="E10" s="7"/>
      <c r="F10" s="7"/>
      <c r="G10" s="7"/>
    </row>
    <row r="11" spans="1:7" x14ac:dyDescent="0.35">
      <c r="A11" s="7"/>
      <c r="B11" s="7"/>
      <c r="C11" s="7"/>
      <c r="D11" s="7"/>
      <c r="E11" s="7"/>
      <c r="F11" s="7"/>
      <c r="G11" s="7"/>
    </row>
    <row r="12" spans="1:7" x14ac:dyDescent="0.35">
      <c r="A12" s="7"/>
      <c r="B12" s="7"/>
      <c r="C12" s="7"/>
      <c r="D12" s="7"/>
      <c r="E12" s="7"/>
      <c r="F12" s="7"/>
      <c r="G12" s="7"/>
    </row>
    <row r="13" spans="1:7" x14ac:dyDescent="0.35">
      <c r="A13" s="7"/>
      <c r="B13" s="7"/>
      <c r="C13" s="7"/>
      <c r="D13" s="7"/>
      <c r="E13" s="7"/>
      <c r="F13" s="7"/>
      <c r="G13"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F2F3-B807-4B95-BA84-D8AFB80B454E}">
  <dimension ref="A1:I14"/>
  <sheetViews>
    <sheetView workbookViewId="0">
      <selection activeCell="L10" sqref="L10"/>
    </sheetView>
  </sheetViews>
  <sheetFormatPr defaultRowHeight="14.5" x14ac:dyDescent="0.35"/>
  <cols>
    <col min="1" max="1" width="10.08984375" customWidth="1"/>
    <col min="2" max="2" width="15.08984375" customWidth="1"/>
  </cols>
  <sheetData>
    <row r="1" spans="1:9" x14ac:dyDescent="0.35">
      <c r="A1" s="17" t="s">
        <v>69</v>
      </c>
      <c r="B1" s="17"/>
      <c r="C1" s="17"/>
      <c r="D1" s="17"/>
      <c r="E1" s="17"/>
      <c r="F1" s="17"/>
      <c r="G1" s="17"/>
      <c r="H1" s="17"/>
      <c r="I1" s="17"/>
    </row>
    <row r="2" spans="1:9" x14ac:dyDescent="0.35">
      <c r="A2" s="5" t="s">
        <v>64</v>
      </c>
      <c r="B2" s="5" t="s">
        <v>32</v>
      </c>
      <c r="C2" s="17"/>
      <c r="D2" s="17"/>
      <c r="E2" s="17"/>
      <c r="F2" s="17"/>
      <c r="G2" s="17"/>
      <c r="H2" s="17"/>
      <c r="I2" s="17"/>
    </row>
    <row r="3" spans="1:9" x14ac:dyDescent="0.35">
      <c r="A3" s="5" t="s">
        <v>33</v>
      </c>
      <c r="B3" s="5" t="s">
        <v>36</v>
      </c>
      <c r="C3" s="17"/>
      <c r="D3" s="17"/>
      <c r="E3" s="17"/>
      <c r="F3" s="17"/>
      <c r="G3" s="17"/>
      <c r="H3" s="17"/>
      <c r="I3" s="17"/>
    </row>
    <row r="4" spans="1:9" x14ac:dyDescent="0.35">
      <c r="A4" s="5" t="s">
        <v>70</v>
      </c>
      <c r="B4" s="5" t="s">
        <v>34</v>
      </c>
      <c r="C4" s="17"/>
      <c r="D4" s="17"/>
      <c r="E4" s="17"/>
      <c r="F4" s="17"/>
      <c r="G4" s="17"/>
      <c r="H4" s="17"/>
      <c r="I4" s="17"/>
    </row>
    <row r="5" spans="1:9" x14ac:dyDescent="0.35">
      <c r="A5" s="5" t="s">
        <v>67</v>
      </c>
      <c r="B5" s="5" t="s">
        <v>13</v>
      </c>
      <c r="C5" s="17"/>
      <c r="D5" s="17"/>
      <c r="E5" s="17"/>
      <c r="F5" s="17"/>
      <c r="G5" s="17"/>
      <c r="H5" s="17"/>
      <c r="I5" s="17"/>
    </row>
    <row r="6" spans="1:9" x14ac:dyDescent="0.35">
      <c r="A6" s="5" t="s">
        <v>71</v>
      </c>
      <c r="B6" s="5" t="s">
        <v>72</v>
      </c>
      <c r="C6" s="17"/>
      <c r="D6" s="17"/>
      <c r="E6" s="17"/>
      <c r="F6" s="17"/>
      <c r="G6" s="17"/>
      <c r="H6" s="17"/>
      <c r="I6" s="17"/>
    </row>
    <row r="7" spans="1:9" x14ac:dyDescent="0.35">
      <c r="A7" s="17"/>
      <c r="B7" s="17"/>
      <c r="C7" s="17"/>
      <c r="D7" s="17"/>
      <c r="E7" s="17"/>
      <c r="F7" s="17"/>
      <c r="G7" s="17"/>
      <c r="H7" s="17"/>
      <c r="I7" s="17"/>
    </row>
    <row r="9" spans="1:9" x14ac:dyDescent="0.35">
      <c r="A9" s="6" t="s">
        <v>8</v>
      </c>
      <c r="B9" s="7"/>
      <c r="C9" s="7"/>
      <c r="D9" s="7"/>
      <c r="E9" s="7"/>
      <c r="F9" s="7"/>
      <c r="G9" s="7"/>
      <c r="H9" s="7"/>
      <c r="I9" s="7"/>
    </row>
    <row r="10" spans="1:9" x14ac:dyDescent="0.35">
      <c r="A10" s="7" t="s">
        <v>34</v>
      </c>
      <c r="B10" s="7"/>
      <c r="C10" s="7"/>
      <c r="D10" s="7"/>
      <c r="E10" s="7"/>
      <c r="F10" s="7"/>
      <c r="G10" s="7"/>
      <c r="H10" s="7"/>
      <c r="I10" s="7"/>
    </row>
    <row r="11" spans="1:9" x14ac:dyDescent="0.35">
      <c r="A11" s="7" t="s">
        <v>73</v>
      </c>
      <c r="B11" s="7"/>
      <c r="C11" s="7"/>
      <c r="D11" s="7"/>
      <c r="E11" s="7"/>
      <c r="F11" s="7"/>
      <c r="G11" s="7"/>
      <c r="H11" s="7"/>
      <c r="I11" s="7"/>
    </row>
    <row r="12" spans="1:9" x14ac:dyDescent="0.35">
      <c r="A12" s="7"/>
      <c r="B12" s="7"/>
      <c r="C12" s="7"/>
      <c r="D12" s="7"/>
      <c r="E12" s="7"/>
      <c r="F12" s="7"/>
      <c r="G12" s="7"/>
      <c r="H12" s="7"/>
      <c r="I12" s="7"/>
    </row>
    <row r="13" spans="1:9" x14ac:dyDescent="0.35">
      <c r="A13" s="7"/>
      <c r="B13" s="7"/>
      <c r="C13" s="7"/>
      <c r="D13" s="7"/>
      <c r="E13" s="7"/>
      <c r="F13" s="7"/>
      <c r="G13" s="7"/>
      <c r="H13" s="7"/>
      <c r="I13" s="7"/>
    </row>
    <row r="14" spans="1:9" x14ac:dyDescent="0.35">
      <c r="A14" s="7"/>
      <c r="B14" s="7"/>
      <c r="C14" s="7"/>
      <c r="D14" s="7"/>
      <c r="E14" s="7"/>
      <c r="F14" s="7"/>
      <c r="G14" s="7"/>
      <c r="H14" s="7"/>
      <c r="I14"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Q6</vt:lpstr>
      <vt:lpstr>Q7</vt:lpstr>
      <vt:lpstr>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Agrawal</dc:creator>
  <cp:lastModifiedBy>Sneha Agrawal</cp:lastModifiedBy>
  <dcterms:created xsi:type="dcterms:W3CDTF">2025-12-18T08:31:58Z</dcterms:created>
  <dcterms:modified xsi:type="dcterms:W3CDTF">2025-12-18T11:12:28Z</dcterms:modified>
</cp:coreProperties>
</file>